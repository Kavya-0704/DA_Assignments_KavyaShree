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vya\Desktop\ExcelR_2023\5_JUNE_2023 (EXCEL)\Excel Assignments\"/>
    </mc:Choice>
  </mc:AlternateContent>
  <xr:revisionPtr revIDLastSave="0" documentId="13_ncr:1_{1143C60F-4601-4127-B020-8BD9B01D4D3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1" sheetId="1" r:id="rId1"/>
    <sheet name="1(Completed)" sheetId="5" r:id="rId2"/>
    <sheet name="2(Completed)" sheetId="2" r:id="rId3"/>
    <sheet name="2(VBA)" sheetId="6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4" i="5" l="1"/>
  <c r="T34" i="5" s="1"/>
  <c r="Q34" i="5"/>
  <c r="S33" i="5"/>
  <c r="T33" i="5" s="1"/>
  <c r="Q33" i="5"/>
  <c r="T32" i="5"/>
  <c r="S32" i="5"/>
  <c r="Q32" i="5"/>
  <c r="S31" i="5"/>
  <c r="T31" i="5" s="1"/>
  <c r="Q31" i="5"/>
  <c r="S30" i="5"/>
  <c r="T30" i="5" s="1"/>
  <c r="Q30" i="5"/>
  <c r="S29" i="5"/>
  <c r="T29" i="5" s="1"/>
  <c r="Q29" i="5"/>
  <c r="T28" i="5"/>
  <c r="S28" i="5"/>
  <c r="Q28" i="5"/>
  <c r="S27" i="5"/>
  <c r="T27" i="5" s="1"/>
  <c r="Q27" i="5"/>
  <c r="S26" i="5"/>
  <c r="T26" i="5" s="1"/>
  <c r="Q26" i="5"/>
  <c r="S25" i="5"/>
  <c r="T25" i="5" s="1"/>
  <c r="Q25" i="5"/>
  <c r="T24" i="5"/>
  <c r="S24" i="5"/>
  <c r="Q24" i="5"/>
  <c r="S23" i="5"/>
  <c r="T23" i="5" s="1"/>
  <c r="Q23" i="5"/>
  <c r="S22" i="5"/>
  <c r="T22" i="5" s="1"/>
  <c r="Q22" i="5"/>
  <c r="S21" i="5"/>
  <c r="T21" i="5" s="1"/>
  <c r="Q21" i="5"/>
  <c r="T20" i="5"/>
  <c r="S20" i="5"/>
  <c r="Q20" i="5"/>
  <c r="S19" i="5"/>
  <c r="T19" i="5" s="1"/>
  <c r="Q19" i="5"/>
  <c r="S18" i="5"/>
  <c r="T18" i="5" s="1"/>
  <c r="Q18" i="5"/>
  <c r="S17" i="5"/>
  <c r="T17" i="5" s="1"/>
  <c r="Q17" i="5"/>
  <c r="T16" i="5"/>
  <c r="S16" i="5"/>
  <c r="Q16" i="5"/>
  <c r="S15" i="5"/>
  <c r="T15" i="5" s="1"/>
  <c r="Q15" i="5"/>
  <c r="S14" i="5"/>
  <c r="T14" i="5" s="1"/>
  <c r="Q14" i="5"/>
  <c r="S13" i="5"/>
  <c r="T13" i="5" s="1"/>
  <c r="Q13" i="5"/>
  <c r="T12" i="5"/>
  <c r="S12" i="5"/>
  <c r="Q12" i="5"/>
  <c r="S11" i="5"/>
  <c r="T11" i="5" s="1"/>
  <c r="Q11" i="5"/>
  <c r="S10" i="5"/>
  <c r="T10" i="5" s="1"/>
  <c r="Q10" i="5"/>
  <c r="S9" i="5"/>
  <c r="T9" i="5" s="1"/>
  <c r="Q9" i="5"/>
  <c r="T8" i="5"/>
  <c r="S8" i="5"/>
  <c r="Q8" i="5"/>
  <c r="S7" i="5"/>
  <c r="T7" i="5" s="1"/>
  <c r="Q7" i="5"/>
  <c r="S6" i="5"/>
  <c r="T6" i="5" s="1"/>
  <c r="Q6" i="5"/>
  <c r="S5" i="5"/>
  <c r="T5" i="5" s="1"/>
  <c r="Q5" i="5"/>
  <c r="T4" i="5"/>
  <c r="S4" i="5"/>
  <c r="Q4" i="5"/>
  <c r="S3" i="5"/>
  <c r="T3" i="5" s="1"/>
  <c r="Q3" i="5"/>
  <c r="S2" i="5"/>
  <c r="T2" i="5" s="1"/>
  <c r="Q2" i="5"/>
  <c r="H34" i="5"/>
  <c r="I34" i="5" s="1"/>
  <c r="F34" i="5"/>
  <c r="H33" i="5"/>
  <c r="I33" i="5" s="1"/>
  <c r="F33" i="5"/>
  <c r="H32" i="5"/>
  <c r="I32" i="5" s="1"/>
  <c r="F32" i="5"/>
  <c r="H31" i="5"/>
  <c r="I31" i="5" s="1"/>
  <c r="F31" i="5"/>
  <c r="H30" i="5"/>
  <c r="I30" i="5" s="1"/>
  <c r="F30" i="5"/>
  <c r="H29" i="5"/>
  <c r="I29" i="5" s="1"/>
  <c r="F29" i="5"/>
  <c r="H28" i="5"/>
  <c r="I28" i="5" s="1"/>
  <c r="F28" i="5"/>
  <c r="H27" i="5"/>
  <c r="I27" i="5" s="1"/>
  <c r="F27" i="5"/>
  <c r="H26" i="5"/>
  <c r="I26" i="5" s="1"/>
  <c r="F26" i="5"/>
  <c r="H25" i="5"/>
  <c r="I25" i="5" s="1"/>
  <c r="F25" i="5"/>
  <c r="H24" i="5"/>
  <c r="I24" i="5" s="1"/>
  <c r="F24" i="5"/>
  <c r="H23" i="5"/>
  <c r="I23" i="5" s="1"/>
  <c r="F23" i="5"/>
  <c r="H22" i="5"/>
  <c r="I22" i="5" s="1"/>
  <c r="F22" i="5"/>
  <c r="H21" i="5"/>
  <c r="I21" i="5" s="1"/>
  <c r="F21" i="5"/>
  <c r="H20" i="5"/>
  <c r="I20" i="5" s="1"/>
  <c r="F20" i="5"/>
  <c r="H19" i="5"/>
  <c r="I19" i="5" s="1"/>
  <c r="F19" i="5"/>
  <c r="H18" i="5"/>
  <c r="I18" i="5" s="1"/>
  <c r="F18" i="5"/>
  <c r="H17" i="5"/>
  <c r="I17" i="5" s="1"/>
  <c r="F17" i="5"/>
  <c r="H16" i="5"/>
  <c r="I16" i="5" s="1"/>
  <c r="F16" i="5"/>
  <c r="H15" i="5"/>
  <c r="I15" i="5" s="1"/>
  <c r="F15" i="5"/>
  <c r="H14" i="5"/>
  <c r="I14" i="5" s="1"/>
  <c r="F14" i="5"/>
  <c r="H13" i="5"/>
  <c r="I13" i="5" s="1"/>
  <c r="F13" i="5"/>
  <c r="H12" i="5"/>
  <c r="I12" i="5" s="1"/>
  <c r="F12" i="5"/>
  <c r="H11" i="5"/>
  <c r="I11" i="5" s="1"/>
  <c r="F11" i="5"/>
  <c r="H10" i="5"/>
  <c r="I10" i="5" s="1"/>
  <c r="F10" i="5"/>
  <c r="H9" i="5"/>
  <c r="I9" i="5" s="1"/>
  <c r="F9" i="5"/>
  <c r="H8" i="5"/>
  <c r="I8" i="5" s="1"/>
  <c r="F8" i="5"/>
  <c r="H7" i="5"/>
  <c r="I7" i="5" s="1"/>
  <c r="F7" i="5"/>
  <c r="H6" i="5"/>
  <c r="I6" i="5" s="1"/>
  <c r="F6" i="5"/>
  <c r="H5" i="5"/>
  <c r="I5" i="5" s="1"/>
  <c r="F5" i="5"/>
  <c r="H4" i="5"/>
  <c r="I4" i="5" s="1"/>
  <c r="F4" i="5"/>
  <c r="H3" i="5"/>
  <c r="I3" i="5" s="1"/>
  <c r="F3" i="5"/>
  <c r="H2" i="5"/>
  <c r="I2" i="5" s="1"/>
  <c r="F2" i="5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K9" i="1"/>
  <c r="J9" i="1"/>
  <c r="H9" i="1"/>
</calcChain>
</file>

<file path=xl/sharedStrings.xml><?xml version="1.0" encoding="utf-8"?>
<sst xmlns="http://schemas.openxmlformats.org/spreadsheetml/2006/main" count="181" uniqueCount="40">
  <si>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</si>
  <si>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</si>
  <si>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</si>
  <si>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</si>
  <si>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</si>
  <si>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</si>
  <si>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</si>
  <si>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</si>
  <si>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</si>
  <si>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</si>
  <si>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</si>
  <si>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</si>
  <si>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</si>
  <si>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</si>
  <si>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</si>
  <si>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</si>
  <si>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</si>
  <si>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</si>
  <si>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</si>
  <si>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Create a form which captures New Joinee Details and save it in a proper dataset in excel.</t>
  </si>
  <si>
    <t>Note: Assign a Macro to a 'Submit' Button</t>
  </si>
  <si>
    <t>Profit %</t>
  </si>
  <si>
    <t>SL NO</t>
  </si>
  <si>
    <t>DOJ</t>
  </si>
  <si>
    <t>Kavya</t>
  </si>
  <si>
    <t>Shree</t>
  </si>
  <si>
    <t>Priya</t>
  </si>
  <si>
    <t>Lavanya</t>
  </si>
  <si>
    <t>Keerthi</t>
  </si>
  <si>
    <t>HR</t>
  </si>
  <si>
    <t>Training</t>
  </si>
  <si>
    <t>R&amp;D</t>
  </si>
  <si>
    <t>Marketing</t>
  </si>
  <si>
    <t>DEPARTMENT</t>
  </si>
  <si>
    <t>SALARY</t>
  </si>
  <si>
    <t>Sales</t>
  </si>
  <si>
    <t xml:space="preserve">NAME </t>
  </si>
  <si>
    <t>NAME</t>
  </si>
  <si>
    <t>25-04-2021</t>
  </si>
  <si>
    <t>23-06-2022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</si>
</sst>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10" fontId="0" fillId="0" borderId="0" xfId="1" applyNumberFormat="1" applyFont="1"/>
    <xf numFmtId="0" fontId="0" fillId="2" borderId="0" xfId="0" applyFill="1"/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0" borderId="5" xfId="0" applyFont="1" applyBorder="1"/>
    <xf numFmtId="0" fontId="3" fillId="0" borderId="1" xfId="0" applyFont="1" applyBorder="1"/>
    <xf numFmtId="10" fontId="3" fillId="0" borderId="6" xfId="1" applyNumberFormat="1" applyFont="1" applyBorder="1"/>
    <xf numFmtId="0" fontId="3" fillId="0" borderId="7" xfId="0" applyFont="1" applyBorder="1"/>
    <xf numFmtId="0" fontId="3" fillId="0" borderId="8" xfId="0" applyFont="1" applyBorder="1"/>
    <xf numFmtId="10" fontId="3" fillId="0" borderId="9" xfId="1" applyNumberFormat="1" applyFont="1" applyBorder="1"/>
    <xf numFmtId="0" fontId="4" fillId="3" borderId="1" xfId="0" applyFont="1" applyFill="1" applyBorder="1"/>
    <xf numFmtId="14" fontId="4" fillId="3" borderId="1" xfId="0" applyNumberFormat="1" applyFont="1" applyFill="1" applyBorder="1"/>
    <xf numFmtId="0" fontId="4" fillId="4" borderId="1" xfId="0" applyFont="1" applyFill="1" applyBorder="1"/>
    <xf numFmtId="14" fontId="4" fillId="4" borderId="1" xfId="0" applyNumberFormat="1" applyFont="1" applyFill="1" applyBorder="1"/>
    <xf numFmtId="0" fontId="4" fillId="3" borderId="5" xfId="0" applyFont="1" applyFill="1" applyBorder="1"/>
    <xf numFmtId="0" fontId="4" fillId="3" borderId="6" xfId="0" applyFont="1" applyFill="1" applyBorder="1"/>
    <xf numFmtId="0" fontId="4" fillId="3" borderId="7" xfId="0" applyFont="1" applyFill="1" applyBorder="1"/>
    <xf numFmtId="0" fontId="4" fillId="3" borderId="8" xfId="0" applyFont="1" applyFill="1" applyBorder="1"/>
    <xf numFmtId="14" fontId="4" fillId="3" borderId="8" xfId="0" applyNumberFormat="1" applyFont="1" applyFill="1" applyBorder="1"/>
    <xf numFmtId="0" fontId="4" fillId="3" borderId="9" xfId="0" applyFont="1" applyFill="1" applyBorder="1"/>
    <xf numFmtId="0" fontId="5" fillId="5" borderId="2" xfId="0" applyFont="1" applyFill="1" applyBorder="1" applyAlignment="1">
      <alignment horizontal="left"/>
    </xf>
    <xf numFmtId="0" fontId="5" fillId="5" borderId="3" xfId="0" applyFont="1" applyFill="1" applyBorder="1" applyAlignment="1">
      <alignment horizontal="left"/>
    </xf>
    <xf numFmtId="0" fontId="5" fillId="5" borderId="4" xfId="0" applyFont="1" applyFill="1" applyBorder="1" applyAlignment="1">
      <alignment horizontal="left"/>
    </xf>
    <xf numFmtId="0" fontId="4" fillId="4" borderId="5" xfId="0" applyFont="1" applyFill="1" applyBorder="1"/>
    <xf numFmtId="0" fontId="4" fillId="4" borderId="6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14" fontId="4" fillId="4" borderId="8" xfId="0" applyNumberFormat="1" applyFont="1" applyFill="1" applyBorder="1"/>
    <xf numFmtId="0" fontId="4" fillId="4" borderId="9" xfId="0" applyFont="1" applyFill="1" applyBorder="1"/>
    <xf numFmtId="0" fontId="5" fillId="5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160020</xdr:colOff>
          <xdr:row>5</xdr:row>
          <xdr:rowOff>137160</xdr:rowOff>
        </xdr:from>
        <xdr:to>
          <xdr:col>22</xdr:col>
          <xdr:colOff>480060</xdr:colOff>
          <xdr:row>8</xdr:row>
          <xdr:rowOff>167640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320040</xdr:colOff>
          <xdr:row>5</xdr:row>
          <xdr:rowOff>15240</xdr:rowOff>
        </xdr:from>
        <xdr:to>
          <xdr:col>9</xdr:col>
          <xdr:colOff>762000</xdr:colOff>
          <xdr:row>8</xdr:row>
          <xdr:rowOff>160020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C8" sqref="C8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</v>
      </c>
    </row>
    <row r="3" spans="3:11" x14ac:dyDescent="0.3">
      <c r="C3" s="1" t="s">
        <v>2</v>
      </c>
    </row>
    <row r="4" spans="3:11" x14ac:dyDescent="0.3">
      <c r="C4" s="1" t="s">
        <v>3</v>
      </c>
    </row>
    <row r="5" spans="3:11" x14ac:dyDescent="0.3">
      <c r="C5" s="1" t="s">
        <v>4</v>
      </c>
    </row>
    <row r="6" spans="3:11" x14ac:dyDescent="0.3">
      <c r="C6" s="1" t="s">
        <v>5</v>
      </c>
    </row>
    <row r="8" spans="3:11" x14ac:dyDescent="0.3">
      <c r="C8" s="3" t="s">
        <v>6</v>
      </c>
      <c r="D8" s="3" t="s">
        <v>7</v>
      </c>
      <c r="E8" s="3" t="s">
        <v>8</v>
      </c>
      <c r="F8" s="3" t="s">
        <v>9</v>
      </c>
      <c r="G8" s="3" t="s">
        <v>10</v>
      </c>
      <c r="H8" s="3" t="s">
        <v>11</v>
      </c>
      <c r="I8" s="3" t="s">
        <v>12</v>
      </c>
      <c r="J8" s="3" t="s">
        <v>13</v>
      </c>
      <c r="K8" s="3" t="s">
        <v>21</v>
      </c>
    </row>
    <row r="9" spans="3:11" x14ac:dyDescent="0.3">
      <c r="C9">
        <v>20847</v>
      </c>
      <c r="D9" t="s">
        <v>14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 s="2">
        <f>J9/H9</f>
        <v>0.10008136696501221</v>
      </c>
    </row>
    <row r="10" spans="3:11" x14ac:dyDescent="0.3">
      <c r="C10">
        <v>20228</v>
      </c>
      <c r="D10" t="s">
        <v>15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  <c r="K10" s="2">
        <f t="shared" ref="K10:K41" si="2">J10/H10</f>
        <v>-3.1137375450498196E-3</v>
      </c>
    </row>
    <row r="11" spans="3:11" x14ac:dyDescent="0.3">
      <c r="C11">
        <v>21776</v>
      </c>
      <c r="D11" t="s">
        <v>16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3">
      <c r="C12">
        <v>24844</v>
      </c>
      <c r="D12" t="s">
        <v>17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3">
      <c r="C13">
        <v>24846</v>
      </c>
      <c r="D13" t="s">
        <v>17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3">
      <c r="C14">
        <v>24847</v>
      </c>
      <c r="D14" t="s">
        <v>17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3">
      <c r="C15">
        <v>24848</v>
      </c>
      <c r="D15" t="s">
        <v>17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3">
      <c r="C16">
        <v>18181</v>
      </c>
      <c r="D16" t="s">
        <v>16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3">
      <c r="C17">
        <v>20925</v>
      </c>
      <c r="D17" t="s">
        <v>17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3">
      <c r="C18">
        <v>26267</v>
      </c>
      <c r="D18" t="s">
        <v>14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3">
      <c r="C19">
        <v>26268</v>
      </c>
      <c r="D19" t="s">
        <v>14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3">
      <c r="C20">
        <v>23890</v>
      </c>
      <c r="D20" t="s">
        <v>14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3">
      <c r="C21">
        <v>24063</v>
      </c>
      <c r="D21" t="s">
        <v>15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3">
      <c r="C22">
        <v>5890</v>
      </c>
      <c r="D22" t="s">
        <v>14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3">
      <c r="C23">
        <v>6062</v>
      </c>
      <c r="D23" t="s">
        <v>15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3">
      <c r="C24">
        <v>6063</v>
      </c>
      <c r="D24" t="s">
        <v>15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3">
      <c r="C25">
        <v>20631</v>
      </c>
      <c r="D25" t="s">
        <v>14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3">
      <c r="C26">
        <v>20632</v>
      </c>
      <c r="D26" t="s">
        <v>14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3">
      <c r="C27">
        <v>23967</v>
      </c>
      <c r="D27" t="s">
        <v>15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3">
      <c r="C28">
        <v>23509</v>
      </c>
      <c r="D28" t="s">
        <v>14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3">
      <c r="C29">
        <v>23612</v>
      </c>
      <c r="D29" t="s">
        <v>14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3">
      <c r="C30">
        <v>23278</v>
      </c>
      <c r="D30" t="s">
        <v>17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3">
      <c r="C31">
        <v>19355</v>
      </c>
      <c r="D31" t="s">
        <v>18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3">
      <c r="C32">
        <v>23654</v>
      </c>
      <c r="D32" t="s">
        <v>15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3">
      <c r="C33">
        <v>23655</v>
      </c>
      <c r="D33" t="s">
        <v>15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3">
      <c r="C34">
        <v>25933</v>
      </c>
      <c r="D34" t="s">
        <v>14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3">
      <c r="C35">
        <v>20697</v>
      </c>
      <c r="D35" t="s">
        <v>17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3">
      <c r="C36">
        <v>20698</v>
      </c>
      <c r="D36" t="s">
        <v>17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3">
      <c r="C37">
        <v>22890</v>
      </c>
      <c r="D37" t="s">
        <v>14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3">
      <c r="C38">
        <v>25354</v>
      </c>
      <c r="D38" t="s">
        <v>14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3">
      <c r="C39">
        <v>21017</v>
      </c>
      <c r="D39" t="s">
        <v>15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3">
      <c r="C40">
        <v>21019</v>
      </c>
      <c r="D40" t="s">
        <v>15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3">
      <c r="C41">
        <v>23274</v>
      </c>
      <c r="D41" t="s">
        <v>18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A7F7B-8578-448B-8A69-89F6275A129D}">
  <sheetPr codeName="Sheet2"/>
  <dimension ref="A1:T34"/>
  <sheetViews>
    <sheetView zoomScale="90" zoomScaleNormal="90" workbookViewId="0">
      <selection activeCell="AK16" sqref="AK16"/>
    </sheetView>
  </sheetViews>
  <sheetFormatPr defaultRowHeight="14.4" x14ac:dyDescent="0.3"/>
  <sheetData>
    <row r="1" spans="1:20" x14ac:dyDescent="0.3">
      <c r="A1" s="4" t="s">
        <v>6</v>
      </c>
      <c r="B1" s="5" t="s">
        <v>7</v>
      </c>
      <c r="C1" s="5" t="s">
        <v>8</v>
      </c>
      <c r="D1" s="5" t="s">
        <v>9</v>
      </c>
      <c r="E1" s="5" t="s">
        <v>10</v>
      </c>
      <c r="F1" s="5" t="s">
        <v>11</v>
      </c>
      <c r="G1" s="5" t="s">
        <v>12</v>
      </c>
      <c r="H1" s="5" t="s">
        <v>13</v>
      </c>
      <c r="I1" s="6" t="s">
        <v>21</v>
      </c>
      <c r="L1" s="4" t="s">
        <v>6</v>
      </c>
      <c r="M1" s="5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6" t="s">
        <v>21</v>
      </c>
    </row>
    <row r="2" spans="1:20" x14ac:dyDescent="0.3">
      <c r="A2" s="7">
        <v>20847</v>
      </c>
      <c r="B2" s="8" t="s">
        <v>14</v>
      </c>
      <c r="C2" s="8">
        <v>4</v>
      </c>
      <c r="D2" s="8">
        <v>2.84</v>
      </c>
      <c r="E2" s="8">
        <v>0.93</v>
      </c>
      <c r="F2" s="8">
        <f>(C2*D2)+E2</f>
        <v>12.29</v>
      </c>
      <c r="G2" s="8">
        <v>0.54</v>
      </c>
      <c r="H2" s="8">
        <f>G2*C2-E2</f>
        <v>1.23</v>
      </c>
      <c r="I2" s="9">
        <f>H2/F2</f>
        <v>0.10008136696501221</v>
      </c>
      <c r="L2" s="7">
        <v>20847</v>
      </c>
      <c r="M2" s="8" t="s">
        <v>14</v>
      </c>
      <c r="N2" s="8">
        <v>4</v>
      </c>
      <c r="O2" s="8">
        <v>2.84</v>
      </c>
      <c r="P2" s="8">
        <v>0.93</v>
      </c>
      <c r="Q2" s="8">
        <f>(N2*O2)+P2</f>
        <v>12.29</v>
      </c>
      <c r="R2" s="8">
        <v>0.54</v>
      </c>
      <c r="S2" s="8">
        <f>R2*N2-P2</f>
        <v>1.23</v>
      </c>
      <c r="T2" s="9">
        <f>S2/Q2</f>
        <v>0.10008136696501221</v>
      </c>
    </row>
    <row r="3" spans="1:20" x14ac:dyDescent="0.3">
      <c r="A3" s="7">
        <v>20228</v>
      </c>
      <c r="B3" s="8" t="s">
        <v>15</v>
      </c>
      <c r="C3" s="8">
        <v>12</v>
      </c>
      <c r="D3" s="8">
        <v>500.98</v>
      </c>
      <c r="E3" s="8">
        <v>26</v>
      </c>
      <c r="F3" s="8">
        <f t="shared" ref="F3:F34" si="0">(C3*D3)+E3</f>
        <v>6037.76</v>
      </c>
      <c r="G3" s="8">
        <v>0.6</v>
      </c>
      <c r="H3" s="8">
        <f t="shared" ref="H3:H34" si="1">G3*C3-E3</f>
        <v>-18.8</v>
      </c>
      <c r="I3" s="9">
        <f t="shared" ref="I3:I34" si="2">H3/F3</f>
        <v>-3.1137375450498196E-3</v>
      </c>
      <c r="L3" s="7">
        <v>20228</v>
      </c>
      <c r="M3" s="8" t="s">
        <v>15</v>
      </c>
      <c r="N3" s="8">
        <v>12</v>
      </c>
      <c r="O3" s="8">
        <v>500.98</v>
      </c>
      <c r="P3" s="8">
        <v>26</v>
      </c>
      <c r="Q3" s="8">
        <f t="shared" ref="Q3:Q34" si="3">(N3*O3)+P3</f>
        <v>6037.76</v>
      </c>
      <c r="R3" s="8">
        <v>0.6</v>
      </c>
      <c r="S3" s="8">
        <f t="shared" ref="S3:S34" si="4">R3*N3-P3</f>
        <v>-18.8</v>
      </c>
      <c r="T3" s="9">
        <f t="shared" ref="T3:T34" si="5">S3/Q3</f>
        <v>-3.1137375450498196E-3</v>
      </c>
    </row>
    <row r="4" spans="1:20" x14ac:dyDescent="0.3">
      <c r="A4" s="7">
        <v>21776</v>
      </c>
      <c r="B4" s="8" t="s">
        <v>16</v>
      </c>
      <c r="C4" s="8">
        <v>22</v>
      </c>
      <c r="D4" s="8">
        <v>9.48</v>
      </c>
      <c r="E4" s="8">
        <v>7.29</v>
      </c>
      <c r="F4" s="8">
        <f t="shared" si="0"/>
        <v>215.85</v>
      </c>
      <c r="G4" s="8">
        <v>0.45</v>
      </c>
      <c r="H4" s="8">
        <f t="shared" si="1"/>
        <v>2.6100000000000003</v>
      </c>
      <c r="I4" s="9">
        <f t="shared" si="2"/>
        <v>1.209173036831133E-2</v>
      </c>
      <c r="L4" s="7">
        <v>21776</v>
      </c>
      <c r="M4" s="8" t="s">
        <v>16</v>
      </c>
      <c r="N4" s="8">
        <v>22</v>
      </c>
      <c r="O4" s="8">
        <v>9.48</v>
      </c>
      <c r="P4" s="8">
        <v>7.29</v>
      </c>
      <c r="Q4" s="8">
        <f t="shared" si="3"/>
        <v>215.85</v>
      </c>
      <c r="R4" s="8">
        <v>0.45</v>
      </c>
      <c r="S4" s="8">
        <f t="shared" si="4"/>
        <v>2.6100000000000003</v>
      </c>
      <c r="T4" s="9">
        <f t="shared" si="5"/>
        <v>1.209173036831133E-2</v>
      </c>
    </row>
    <row r="5" spans="1:20" x14ac:dyDescent="0.3">
      <c r="A5" s="7">
        <v>24844</v>
      </c>
      <c r="B5" s="8" t="s">
        <v>17</v>
      </c>
      <c r="C5" s="8">
        <v>16</v>
      </c>
      <c r="D5" s="8">
        <v>78.69</v>
      </c>
      <c r="E5" s="8">
        <v>19.989999999999998</v>
      </c>
      <c r="F5" s="8">
        <f t="shared" si="0"/>
        <v>1279.03</v>
      </c>
      <c r="G5" s="8">
        <v>0.43</v>
      </c>
      <c r="H5" s="8">
        <f t="shared" si="1"/>
        <v>-13.11</v>
      </c>
      <c r="I5" s="9">
        <f t="shared" si="2"/>
        <v>-1.0249955044056824E-2</v>
      </c>
      <c r="L5" s="7">
        <v>24844</v>
      </c>
      <c r="M5" s="8" t="s">
        <v>17</v>
      </c>
      <c r="N5" s="8">
        <v>16</v>
      </c>
      <c r="O5" s="8">
        <v>78.69</v>
      </c>
      <c r="P5" s="8">
        <v>19.989999999999998</v>
      </c>
      <c r="Q5" s="8">
        <f t="shared" si="3"/>
        <v>1279.03</v>
      </c>
      <c r="R5" s="8">
        <v>0.43</v>
      </c>
      <c r="S5" s="8">
        <f t="shared" si="4"/>
        <v>-13.11</v>
      </c>
      <c r="T5" s="9">
        <f t="shared" si="5"/>
        <v>-1.0249955044056824E-2</v>
      </c>
    </row>
    <row r="6" spans="1:20" x14ac:dyDescent="0.3">
      <c r="A6" s="7">
        <v>24846</v>
      </c>
      <c r="B6" s="8" t="s">
        <v>17</v>
      </c>
      <c r="C6" s="8">
        <v>7</v>
      </c>
      <c r="D6" s="8">
        <v>3.28</v>
      </c>
      <c r="E6" s="8">
        <v>2.31</v>
      </c>
      <c r="F6" s="8">
        <f t="shared" si="0"/>
        <v>25.269999999999996</v>
      </c>
      <c r="G6" s="8">
        <v>0.56000000000000005</v>
      </c>
      <c r="H6" s="8">
        <f t="shared" si="1"/>
        <v>1.6100000000000003</v>
      </c>
      <c r="I6" s="9">
        <f t="shared" si="2"/>
        <v>6.3711911357340736E-2</v>
      </c>
      <c r="L6" s="7">
        <v>24846</v>
      </c>
      <c r="M6" s="8" t="s">
        <v>17</v>
      </c>
      <c r="N6" s="8">
        <v>7</v>
      </c>
      <c r="O6" s="8">
        <v>3.28</v>
      </c>
      <c r="P6" s="8">
        <v>2.31</v>
      </c>
      <c r="Q6" s="8">
        <f t="shared" si="3"/>
        <v>25.269999999999996</v>
      </c>
      <c r="R6" s="8">
        <v>0.56000000000000005</v>
      </c>
      <c r="S6" s="8">
        <f t="shared" si="4"/>
        <v>1.6100000000000003</v>
      </c>
      <c r="T6" s="9">
        <f t="shared" si="5"/>
        <v>6.3711911357340736E-2</v>
      </c>
    </row>
    <row r="7" spans="1:20" x14ac:dyDescent="0.3">
      <c r="A7" s="7">
        <v>24847</v>
      </c>
      <c r="B7" s="8" t="s">
        <v>17</v>
      </c>
      <c r="C7" s="8">
        <v>4</v>
      </c>
      <c r="D7" s="8">
        <v>3.28</v>
      </c>
      <c r="E7" s="8">
        <v>4.2</v>
      </c>
      <c r="F7" s="8">
        <f t="shared" si="0"/>
        <v>17.32</v>
      </c>
      <c r="G7" s="8">
        <v>0.56000000000000005</v>
      </c>
      <c r="H7" s="8">
        <f t="shared" si="1"/>
        <v>-1.96</v>
      </c>
      <c r="I7" s="9">
        <f t="shared" si="2"/>
        <v>-0.11316397228637413</v>
      </c>
      <c r="L7" s="7">
        <v>24847</v>
      </c>
      <c r="M7" s="8" t="s">
        <v>17</v>
      </c>
      <c r="N7" s="8">
        <v>4</v>
      </c>
      <c r="O7" s="8">
        <v>3.28</v>
      </c>
      <c r="P7" s="8">
        <v>4.2</v>
      </c>
      <c r="Q7" s="8">
        <f t="shared" si="3"/>
        <v>17.32</v>
      </c>
      <c r="R7" s="8">
        <v>0.56000000000000005</v>
      </c>
      <c r="S7" s="8">
        <f t="shared" si="4"/>
        <v>-1.96</v>
      </c>
      <c r="T7" s="9">
        <f t="shared" si="5"/>
        <v>-0.11316397228637413</v>
      </c>
    </row>
    <row r="8" spans="1:20" x14ac:dyDescent="0.3">
      <c r="A8" s="7">
        <v>24848</v>
      </c>
      <c r="B8" s="8" t="s">
        <v>17</v>
      </c>
      <c r="C8" s="8">
        <v>4</v>
      </c>
      <c r="D8" s="8">
        <v>3.58</v>
      </c>
      <c r="E8" s="8">
        <v>1.63</v>
      </c>
      <c r="F8" s="8">
        <f t="shared" si="0"/>
        <v>15.95</v>
      </c>
      <c r="G8" s="8">
        <v>0.36</v>
      </c>
      <c r="H8" s="8">
        <f t="shared" si="1"/>
        <v>-0.18999999999999995</v>
      </c>
      <c r="I8" s="9">
        <f t="shared" si="2"/>
        <v>-1.1912225705329151E-2</v>
      </c>
      <c r="L8" s="7">
        <v>24848</v>
      </c>
      <c r="M8" s="8" t="s">
        <v>17</v>
      </c>
      <c r="N8" s="8">
        <v>4</v>
      </c>
      <c r="O8" s="8">
        <v>3.58</v>
      </c>
      <c r="P8" s="8">
        <v>1.63</v>
      </c>
      <c r="Q8" s="8">
        <f t="shared" si="3"/>
        <v>15.95</v>
      </c>
      <c r="R8" s="8">
        <v>0.36</v>
      </c>
      <c r="S8" s="8">
        <f t="shared" si="4"/>
        <v>-0.18999999999999995</v>
      </c>
      <c r="T8" s="9">
        <f t="shared" si="5"/>
        <v>-1.1912225705329151E-2</v>
      </c>
    </row>
    <row r="9" spans="1:20" x14ac:dyDescent="0.3">
      <c r="A9" s="7">
        <v>18181</v>
      </c>
      <c r="B9" s="8" t="s">
        <v>16</v>
      </c>
      <c r="C9" s="8">
        <v>7</v>
      </c>
      <c r="D9" s="8">
        <v>4.42</v>
      </c>
      <c r="E9" s="8">
        <v>4.99</v>
      </c>
      <c r="F9" s="8">
        <f t="shared" si="0"/>
        <v>35.93</v>
      </c>
      <c r="G9" s="8">
        <v>0.38</v>
      </c>
      <c r="H9" s="8">
        <f t="shared" si="1"/>
        <v>-2.33</v>
      </c>
      <c r="I9" s="9">
        <f t="shared" si="2"/>
        <v>-6.4848316170331197E-2</v>
      </c>
      <c r="L9" s="7">
        <v>18181</v>
      </c>
      <c r="M9" s="8" t="s">
        <v>16</v>
      </c>
      <c r="N9" s="8">
        <v>7</v>
      </c>
      <c r="O9" s="8">
        <v>4.42</v>
      </c>
      <c r="P9" s="8">
        <v>4.99</v>
      </c>
      <c r="Q9" s="8">
        <f t="shared" si="3"/>
        <v>35.93</v>
      </c>
      <c r="R9" s="8">
        <v>0.38</v>
      </c>
      <c r="S9" s="8">
        <f t="shared" si="4"/>
        <v>-2.33</v>
      </c>
      <c r="T9" s="9">
        <f t="shared" si="5"/>
        <v>-6.4848316170331197E-2</v>
      </c>
    </row>
    <row r="10" spans="1:20" x14ac:dyDescent="0.3">
      <c r="A10" s="7">
        <v>20925</v>
      </c>
      <c r="B10" s="8" t="s">
        <v>17</v>
      </c>
      <c r="C10" s="8">
        <v>10</v>
      </c>
      <c r="D10" s="8">
        <v>35.94</v>
      </c>
      <c r="E10" s="8">
        <v>6.66</v>
      </c>
      <c r="F10" s="8">
        <f t="shared" si="0"/>
        <v>366.06</v>
      </c>
      <c r="G10" s="8">
        <v>0.4</v>
      </c>
      <c r="H10" s="8">
        <f t="shared" si="1"/>
        <v>-2.66</v>
      </c>
      <c r="I10" s="9">
        <f t="shared" si="2"/>
        <v>-7.2665683221329836E-3</v>
      </c>
      <c r="L10" s="7">
        <v>20925</v>
      </c>
      <c r="M10" s="8" t="s">
        <v>17</v>
      </c>
      <c r="N10" s="8">
        <v>10</v>
      </c>
      <c r="O10" s="8">
        <v>35.94</v>
      </c>
      <c r="P10" s="8">
        <v>6.66</v>
      </c>
      <c r="Q10" s="8">
        <f t="shared" si="3"/>
        <v>366.06</v>
      </c>
      <c r="R10" s="8">
        <v>0.4</v>
      </c>
      <c r="S10" s="8">
        <f t="shared" si="4"/>
        <v>-2.66</v>
      </c>
      <c r="T10" s="9">
        <f t="shared" si="5"/>
        <v>-7.2665683221329836E-3</v>
      </c>
    </row>
    <row r="11" spans="1:20" x14ac:dyDescent="0.3">
      <c r="A11" s="7">
        <v>26267</v>
      </c>
      <c r="B11" s="8" t="s">
        <v>14</v>
      </c>
      <c r="C11" s="8">
        <v>6</v>
      </c>
      <c r="D11" s="8">
        <v>2.98</v>
      </c>
      <c r="E11" s="8">
        <v>1.58</v>
      </c>
      <c r="F11" s="8">
        <f t="shared" si="0"/>
        <v>19.46</v>
      </c>
      <c r="G11" s="8">
        <v>0.39</v>
      </c>
      <c r="H11" s="8">
        <f t="shared" si="1"/>
        <v>0.75999999999999979</v>
      </c>
      <c r="I11" s="9">
        <f t="shared" si="2"/>
        <v>3.9054470709146957E-2</v>
      </c>
      <c r="L11" s="7">
        <v>26267</v>
      </c>
      <c r="M11" s="8" t="s">
        <v>14</v>
      </c>
      <c r="N11" s="8">
        <v>6</v>
      </c>
      <c r="O11" s="8">
        <v>2.98</v>
      </c>
      <c r="P11" s="8">
        <v>1.58</v>
      </c>
      <c r="Q11" s="8">
        <f t="shared" si="3"/>
        <v>19.46</v>
      </c>
      <c r="R11" s="8">
        <v>0.39</v>
      </c>
      <c r="S11" s="8">
        <f t="shared" si="4"/>
        <v>0.75999999999999979</v>
      </c>
      <c r="T11" s="9">
        <f t="shared" si="5"/>
        <v>3.9054470709146957E-2</v>
      </c>
    </row>
    <row r="12" spans="1:20" x14ac:dyDescent="0.3">
      <c r="A12" s="7">
        <v>26268</v>
      </c>
      <c r="B12" s="8" t="s">
        <v>14</v>
      </c>
      <c r="C12" s="8">
        <v>10</v>
      </c>
      <c r="D12" s="8">
        <v>115.99</v>
      </c>
      <c r="E12" s="8">
        <v>2.5</v>
      </c>
      <c r="F12" s="8">
        <f t="shared" si="0"/>
        <v>1162.3999999999999</v>
      </c>
      <c r="G12" s="8">
        <v>0.55000000000000004</v>
      </c>
      <c r="H12" s="8">
        <f t="shared" si="1"/>
        <v>3</v>
      </c>
      <c r="I12" s="9">
        <f t="shared" si="2"/>
        <v>2.5808671713695806E-3</v>
      </c>
      <c r="L12" s="7">
        <v>26268</v>
      </c>
      <c r="M12" s="8" t="s">
        <v>14</v>
      </c>
      <c r="N12" s="8">
        <v>10</v>
      </c>
      <c r="O12" s="8">
        <v>115.99</v>
      </c>
      <c r="P12" s="8">
        <v>2.5</v>
      </c>
      <c r="Q12" s="8">
        <f t="shared" si="3"/>
        <v>1162.3999999999999</v>
      </c>
      <c r="R12" s="8">
        <v>0.55000000000000004</v>
      </c>
      <c r="S12" s="8">
        <f t="shared" si="4"/>
        <v>3</v>
      </c>
      <c r="T12" s="9">
        <f t="shared" si="5"/>
        <v>2.5808671713695806E-3</v>
      </c>
    </row>
    <row r="13" spans="1:20" x14ac:dyDescent="0.3">
      <c r="A13" s="7">
        <v>23890</v>
      </c>
      <c r="B13" s="8" t="s">
        <v>14</v>
      </c>
      <c r="C13" s="8">
        <v>17</v>
      </c>
      <c r="D13" s="8">
        <v>26.48</v>
      </c>
      <c r="E13" s="8">
        <v>6.93</v>
      </c>
      <c r="F13" s="8">
        <f t="shared" si="0"/>
        <v>457.09000000000003</v>
      </c>
      <c r="G13" s="8">
        <v>0.49</v>
      </c>
      <c r="H13" s="8">
        <f t="shared" si="1"/>
        <v>1.4000000000000004</v>
      </c>
      <c r="I13" s="9">
        <f t="shared" si="2"/>
        <v>3.0628541425102283E-3</v>
      </c>
      <c r="L13" s="7">
        <v>23890</v>
      </c>
      <c r="M13" s="8" t="s">
        <v>14</v>
      </c>
      <c r="N13" s="8">
        <v>17</v>
      </c>
      <c r="O13" s="8">
        <v>26.48</v>
      </c>
      <c r="P13" s="8">
        <v>6.93</v>
      </c>
      <c r="Q13" s="8">
        <f t="shared" si="3"/>
        <v>457.09000000000003</v>
      </c>
      <c r="R13" s="8">
        <v>0.49</v>
      </c>
      <c r="S13" s="8">
        <f t="shared" si="4"/>
        <v>1.4000000000000004</v>
      </c>
      <c r="T13" s="9">
        <f t="shared" si="5"/>
        <v>3.0628541425102283E-3</v>
      </c>
    </row>
    <row r="14" spans="1:20" x14ac:dyDescent="0.3">
      <c r="A14" s="7">
        <v>24063</v>
      </c>
      <c r="B14" s="8" t="s">
        <v>15</v>
      </c>
      <c r="C14" s="8">
        <v>18</v>
      </c>
      <c r="D14" s="8">
        <v>12.99</v>
      </c>
      <c r="E14" s="8">
        <v>9.44</v>
      </c>
      <c r="F14" s="8">
        <f t="shared" si="0"/>
        <v>243.26</v>
      </c>
      <c r="G14" s="8">
        <v>0.39</v>
      </c>
      <c r="H14" s="8">
        <f t="shared" si="1"/>
        <v>-2.419999999999999</v>
      </c>
      <c r="I14" s="9">
        <f t="shared" si="2"/>
        <v>-9.9482035681986315E-3</v>
      </c>
      <c r="L14" s="7">
        <v>24063</v>
      </c>
      <c r="M14" s="8" t="s">
        <v>15</v>
      </c>
      <c r="N14" s="8">
        <v>18</v>
      </c>
      <c r="O14" s="8">
        <v>12.99</v>
      </c>
      <c r="P14" s="8">
        <v>9.44</v>
      </c>
      <c r="Q14" s="8">
        <f t="shared" si="3"/>
        <v>243.26</v>
      </c>
      <c r="R14" s="8">
        <v>0.39</v>
      </c>
      <c r="S14" s="8">
        <f t="shared" si="4"/>
        <v>-2.419999999999999</v>
      </c>
      <c r="T14" s="9">
        <f t="shared" si="5"/>
        <v>-9.9482035681986315E-3</v>
      </c>
    </row>
    <row r="15" spans="1:20" x14ac:dyDescent="0.3">
      <c r="A15" s="7">
        <v>5890</v>
      </c>
      <c r="B15" s="8" t="s">
        <v>14</v>
      </c>
      <c r="C15" s="8">
        <v>70</v>
      </c>
      <c r="D15" s="8">
        <v>26.48</v>
      </c>
      <c r="E15" s="8">
        <v>6.93</v>
      </c>
      <c r="F15" s="8">
        <f t="shared" si="0"/>
        <v>1860.5300000000002</v>
      </c>
      <c r="G15" s="8">
        <v>0.49</v>
      </c>
      <c r="H15" s="8">
        <f t="shared" si="1"/>
        <v>27.369999999999997</v>
      </c>
      <c r="I15" s="9">
        <f t="shared" si="2"/>
        <v>1.4710861958689187E-2</v>
      </c>
      <c r="L15" s="7">
        <v>5890</v>
      </c>
      <c r="M15" s="8" t="s">
        <v>14</v>
      </c>
      <c r="N15" s="8">
        <v>70</v>
      </c>
      <c r="O15" s="8">
        <v>26.48</v>
      </c>
      <c r="P15" s="8">
        <v>6.93</v>
      </c>
      <c r="Q15" s="8">
        <f t="shared" si="3"/>
        <v>1860.5300000000002</v>
      </c>
      <c r="R15" s="8">
        <v>0.49</v>
      </c>
      <c r="S15" s="8">
        <f t="shared" si="4"/>
        <v>27.369999999999997</v>
      </c>
      <c r="T15" s="9">
        <f t="shared" si="5"/>
        <v>1.4710861958689187E-2</v>
      </c>
    </row>
    <row r="16" spans="1:20" x14ac:dyDescent="0.3">
      <c r="A16" s="7">
        <v>6062</v>
      </c>
      <c r="B16" s="8" t="s">
        <v>15</v>
      </c>
      <c r="C16" s="8">
        <v>58</v>
      </c>
      <c r="D16" s="8">
        <v>5</v>
      </c>
      <c r="E16" s="8">
        <v>3.39</v>
      </c>
      <c r="F16" s="8">
        <f t="shared" si="0"/>
        <v>293.39</v>
      </c>
      <c r="G16" s="8">
        <v>0.37</v>
      </c>
      <c r="H16" s="8">
        <f t="shared" si="1"/>
        <v>18.07</v>
      </c>
      <c r="I16" s="9">
        <f t="shared" si="2"/>
        <v>6.1590374586727566E-2</v>
      </c>
      <c r="L16" s="7">
        <v>6062</v>
      </c>
      <c r="M16" s="8" t="s">
        <v>15</v>
      </c>
      <c r="N16" s="8">
        <v>58</v>
      </c>
      <c r="O16" s="8">
        <v>5</v>
      </c>
      <c r="P16" s="8">
        <v>3.39</v>
      </c>
      <c r="Q16" s="8">
        <f t="shared" si="3"/>
        <v>293.39</v>
      </c>
      <c r="R16" s="8">
        <v>0.37</v>
      </c>
      <c r="S16" s="8">
        <f t="shared" si="4"/>
        <v>18.07</v>
      </c>
      <c r="T16" s="9">
        <f t="shared" si="5"/>
        <v>6.1590374586727566E-2</v>
      </c>
    </row>
    <row r="17" spans="1:20" x14ac:dyDescent="0.3">
      <c r="A17" s="7">
        <v>6063</v>
      </c>
      <c r="B17" s="8" t="s">
        <v>15</v>
      </c>
      <c r="C17" s="8">
        <v>71</v>
      </c>
      <c r="D17" s="8">
        <v>12.99</v>
      </c>
      <c r="E17" s="8">
        <v>9.44</v>
      </c>
      <c r="F17" s="8">
        <f t="shared" si="0"/>
        <v>931.73</v>
      </c>
      <c r="G17" s="8">
        <v>0.39</v>
      </c>
      <c r="H17" s="8">
        <f t="shared" si="1"/>
        <v>18.25</v>
      </c>
      <c r="I17" s="9">
        <f t="shared" si="2"/>
        <v>1.958721947345261E-2</v>
      </c>
      <c r="L17" s="7">
        <v>6063</v>
      </c>
      <c r="M17" s="8" t="s">
        <v>15</v>
      </c>
      <c r="N17" s="8">
        <v>71</v>
      </c>
      <c r="O17" s="8">
        <v>12.99</v>
      </c>
      <c r="P17" s="8">
        <v>9.44</v>
      </c>
      <c r="Q17" s="8">
        <f t="shared" si="3"/>
        <v>931.73</v>
      </c>
      <c r="R17" s="8">
        <v>0.39</v>
      </c>
      <c r="S17" s="8">
        <f t="shared" si="4"/>
        <v>18.25</v>
      </c>
      <c r="T17" s="9">
        <f t="shared" si="5"/>
        <v>1.958721947345261E-2</v>
      </c>
    </row>
    <row r="18" spans="1:20" x14ac:dyDescent="0.3">
      <c r="A18" s="7">
        <v>20631</v>
      </c>
      <c r="B18" s="8" t="s">
        <v>14</v>
      </c>
      <c r="C18" s="8">
        <v>1</v>
      </c>
      <c r="D18" s="8">
        <v>55.48</v>
      </c>
      <c r="E18" s="8">
        <v>14.3</v>
      </c>
      <c r="F18" s="8">
        <f t="shared" si="0"/>
        <v>69.78</v>
      </c>
      <c r="G18" s="8">
        <v>0.37</v>
      </c>
      <c r="H18" s="8">
        <f t="shared" si="1"/>
        <v>-13.930000000000001</v>
      </c>
      <c r="I18" s="9">
        <f t="shared" si="2"/>
        <v>-0.19962740040126112</v>
      </c>
      <c r="L18" s="7">
        <v>20631</v>
      </c>
      <c r="M18" s="8" t="s">
        <v>14</v>
      </c>
      <c r="N18" s="8">
        <v>1</v>
      </c>
      <c r="O18" s="8">
        <v>55.48</v>
      </c>
      <c r="P18" s="8">
        <v>14.3</v>
      </c>
      <c r="Q18" s="8">
        <f t="shared" si="3"/>
        <v>69.78</v>
      </c>
      <c r="R18" s="8">
        <v>0.37</v>
      </c>
      <c r="S18" s="8">
        <f t="shared" si="4"/>
        <v>-13.930000000000001</v>
      </c>
      <c r="T18" s="9">
        <f t="shared" si="5"/>
        <v>-0.19962740040126112</v>
      </c>
    </row>
    <row r="19" spans="1:20" x14ac:dyDescent="0.3">
      <c r="A19" s="7">
        <v>20632</v>
      </c>
      <c r="B19" s="8" t="s">
        <v>14</v>
      </c>
      <c r="C19" s="8">
        <v>1</v>
      </c>
      <c r="D19" s="8">
        <v>1.68</v>
      </c>
      <c r="E19" s="8">
        <v>1.57</v>
      </c>
      <c r="F19" s="8">
        <f t="shared" si="0"/>
        <v>3.25</v>
      </c>
      <c r="G19" s="8">
        <v>0.59</v>
      </c>
      <c r="H19" s="8">
        <f t="shared" si="1"/>
        <v>-0.98000000000000009</v>
      </c>
      <c r="I19" s="9">
        <f t="shared" si="2"/>
        <v>-0.30153846153846159</v>
      </c>
      <c r="L19" s="7">
        <v>20632</v>
      </c>
      <c r="M19" s="8" t="s">
        <v>14</v>
      </c>
      <c r="N19" s="8">
        <v>1</v>
      </c>
      <c r="O19" s="8">
        <v>1.68</v>
      </c>
      <c r="P19" s="8">
        <v>1.57</v>
      </c>
      <c r="Q19" s="8">
        <f t="shared" si="3"/>
        <v>3.25</v>
      </c>
      <c r="R19" s="8">
        <v>0.59</v>
      </c>
      <c r="S19" s="8">
        <f t="shared" si="4"/>
        <v>-0.98000000000000009</v>
      </c>
      <c r="T19" s="9">
        <f t="shared" si="5"/>
        <v>-0.30153846153846159</v>
      </c>
    </row>
    <row r="20" spans="1:20" x14ac:dyDescent="0.3">
      <c r="A20" s="7">
        <v>23967</v>
      </c>
      <c r="B20" s="8" t="s">
        <v>15</v>
      </c>
      <c r="C20" s="8">
        <v>12</v>
      </c>
      <c r="D20" s="8">
        <v>4.1399999999999997</v>
      </c>
      <c r="E20" s="8">
        <v>6.6</v>
      </c>
      <c r="F20" s="8">
        <f t="shared" si="0"/>
        <v>56.279999999999994</v>
      </c>
      <c r="G20" s="8">
        <v>0.49</v>
      </c>
      <c r="H20" s="8">
        <f t="shared" si="1"/>
        <v>-0.71999999999999975</v>
      </c>
      <c r="I20" s="9">
        <f t="shared" si="2"/>
        <v>-1.2793176972281446E-2</v>
      </c>
      <c r="L20" s="7">
        <v>23967</v>
      </c>
      <c r="M20" s="8" t="s">
        <v>15</v>
      </c>
      <c r="N20" s="8">
        <v>12</v>
      </c>
      <c r="O20" s="8">
        <v>4.1399999999999997</v>
      </c>
      <c r="P20" s="8">
        <v>6.6</v>
      </c>
      <c r="Q20" s="8">
        <f t="shared" si="3"/>
        <v>56.279999999999994</v>
      </c>
      <c r="R20" s="8">
        <v>0.49</v>
      </c>
      <c r="S20" s="8">
        <f t="shared" si="4"/>
        <v>-0.71999999999999975</v>
      </c>
      <c r="T20" s="9">
        <f t="shared" si="5"/>
        <v>-1.2793176972281446E-2</v>
      </c>
    </row>
    <row r="21" spans="1:20" x14ac:dyDescent="0.3">
      <c r="A21" s="7">
        <v>23509</v>
      </c>
      <c r="B21" s="8" t="s">
        <v>14</v>
      </c>
      <c r="C21" s="8">
        <v>13</v>
      </c>
      <c r="D21" s="8">
        <v>34.99</v>
      </c>
      <c r="E21" s="8">
        <v>7.73</v>
      </c>
      <c r="F21" s="8">
        <f t="shared" si="0"/>
        <v>462.6</v>
      </c>
      <c r="G21" s="8">
        <v>0.59</v>
      </c>
      <c r="H21" s="8">
        <f t="shared" si="1"/>
        <v>-6.0000000000000497E-2</v>
      </c>
      <c r="I21" s="9">
        <f t="shared" si="2"/>
        <v>-1.2970168612192064E-4</v>
      </c>
      <c r="L21" s="7">
        <v>23509</v>
      </c>
      <c r="M21" s="8" t="s">
        <v>14</v>
      </c>
      <c r="N21" s="8">
        <v>13</v>
      </c>
      <c r="O21" s="8">
        <v>34.99</v>
      </c>
      <c r="P21" s="8">
        <v>7.73</v>
      </c>
      <c r="Q21" s="8">
        <f t="shared" si="3"/>
        <v>462.6</v>
      </c>
      <c r="R21" s="8">
        <v>0.59</v>
      </c>
      <c r="S21" s="8">
        <f t="shared" si="4"/>
        <v>-6.0000000000000497E-2</v>
      </c>
      <c r="T21" s="9">
        <f t="shared" si="5"/>
        <v>-1.2970168612192064E-4</v>
      </c>
    </row>
    <row r="22" spans="1:20" x14ac:dyDescent="0.3">
      <c r="A22" s="7">
        <v>23612</v>
      </c>
      <c r="B22" s="8" t="s">
        <v>14</v>
      </c>
      <c r="C22" s="8">
        <v>2</v>
      </c>
      <c r="D22" s="8">
        <v>17.98</v>
      </c>
      <c r="E22" s="8">
        <v>8.51</v>
      </c>
      <c r="F22" s="8">
        <f t="shared" si="0"/>
        <v>44.47</v>
      </c>
      <c r="G22" s="8">
        <v>0.4</v>
      </c>
      <c r="H22" s="8">
        <f t="shared" si="1"/>
        <v>-7.71</v>
      </c>
      <c r="I22" s="9">
        <f t="shared" si="2"/>
        <v>-0.17337530919721161</v>
      </c>
      <c r="L22" s="7">
        <v>23612</v>
      </c>
      <c r="M22" s="8" t="s">
        <v>14</v>
      </c>
      <c r="N22" s="8">
        <v>2</v>
      </c>
      <c r="O22" s="8">
        <v>17.98</v>
      </c>
      <c r="P22" s="8">
        <v>8.51</v>
      </c>
      <c r="Q22" s="8">
        <f t="shared" si="3"/>
        <v>44.47</v>
      </c>
      <c r="R22" s="8">
        <v>0.4</v>
      </c>
      <c r="S22" s="8">
        <f t="shared" si="4"/>
        <v>-7.71</v>
      </c>
      <c r="T22" s="9">
        <f t="shared" si="5"/>
        <v>-0.17337530919721161</v>
      </c>
    </row>
    <row r="23" spans="1:20" x14ac:dyDescent="0.3">
      <c r="A23" s="7">
        <v>23278</v>
      </c>
      <c r="B23" s="8" t="s">
        <v>17</v>
      </c>
      <c r="C23" s="8">
        <v>8</v>
      </c>
      <c r="D23" s="8">
        <v>125.99</v>
      </c>
      <c r="E23" s="8">
        <v>7.69</v>
      </c>
      <c r="F23" s="8">
        <f t="shared" si="0"/>
        <v>1015.61</v>
      </c>
      <c r="G23" s="8">
        <v>0.59</v>
      </c>
      <c r="H23" s="8">
        <f t="shared" si="1"/>
        <v>-2.9700000000000006</v>
      </c>
      <c r="I23" s="9">
        <f t="shared" si="2"/>
        <v>-2.9243508827207299E-3</v>
      </c>
      <c r="L23" s="7">
        <v>23278</v>
      </c>
      <c r="M23" s="8" t="s">
        <v>17</v>
      </c>
      <c r="N23" s="8">
        <v>8</v>
      </c>
      <c r="O23" s="8">
        <v>125.99</v>
      </c>
      <c r="P23" s="8">
        <v>7.69</v>
      </c>
      <c r="Q23" s="8">
        <f t="shared" si="3"/>
        <v>1015.61</v>
      </c>
      <c r="R23" s="8">
        <v>0.59</v>
      </c>
      <c r="S23" s="8">
        <f t="shared" si="4"/>
        <v>-2.9700000000000006</v>
      </c>
      <c r="T23" s="9">
        <f t="shared" si="5"/>
        <v>-2.9243508827207299E-3</v>
      </c>
    </row>
    <row r="24" spans="1:20" x14ac:dyDescent="0.3">
      <c r="A24" s="7">
        <v>19355</v>
      </c>
      <c r="B24" s="8" t="s">
        <v>18</v>
      </c>
      <c r="C24" s="8">
        <v>22</v>
      </c>
      <c r="D24" s="8">
        <v>205.99</v>
      </c>
      <c r="E24" s="8">
        <v>8.99</v>
      </c>
      <c r="F24" s="8">
        <f t="shared" si="0"/>
        <v>4540.7700000000004</v>
      </c>
      <c r="G24" s="8">
        <v>0.56000000000000005</v>
      </c>
      <c r="H24" s="8">
        <f t="shared" si="1"/>
        <v>3.33</v>
      </c>
      <c r="I24" s="9">
        <f t="shared" si="2"/>
        <v>7.3335579648385618E-4</v>
      </c>
      <c r="L24" s="7">
        <v>19355</v>
      </c>
      <c r="M24" s="8" t="s">
        <v>18</v>
      </c>
      <c r="N24" s="8">
        <v>22</v>
      </c>
      <c r="O24" s="8">
        <v>205.99</v>
      </c>
      <c r="P24" s="8">
        <v>8.99</v>
      </c>
      <c r="Q24" s="8">
        <f t="shared" si="3"/>
        <v>4540.7700000000004</v>
      </c>
      <c r="R24" s="8">
        <v>0.56000000000000005</v>
      </c>
      <c r="S24" s="8">
        <f t="shared" si="4"/>
        <v>3.33</v>
      </c>
      <c r="T24" s="9">
        <f t="shared" si="5"/>
        <v>7.3335579648385618E-4</v>
      </c>
    </row>
    <row r="25" spans="1:20" x14ac:dyDescent="0.3">
      <c r="A25" s="7">
        <v>23654</v>
      </c>
      <c r="B25" s="8" t="s">
        <v>15</v>
      </c>
      <c r="C25" s="8">
        <v>13</v>
      </c>
      <c r="D25" s="8">
        <v>4.24</v>
      </c>
      <c r="E25" s="8">
        <v>5.41</v>
      </c>
      <c r="F25" s="8">
        <f t="shared" si="0"/>
        <v>60.53</v>
      </c>
      <c r="G25" s="8">
        <v>0.35</v>
      </c>
      <c r="H25" s="8">
        <f t="shared" si="1"/>
        <v>-0.86000000000000032</v>
      </c>
      <c r="I25" s="9">
        <f t="shared" si="2"/>
        <v>-1.4207830827688754E-2</v>
      </c>
      <c r="L25" s="7">
        <v>23654</v>
      </c>
      <c r="M25" s="8" t="s">
        <v>15</v>
      </c>
      <c r="N25" s="8">
        <v>13</v>
      </c>
      <c r="O25" s="8">
        <v>4.24</v>
      </c>
      <c r="P25" s="8">
        <v>5.41</v>
      </c>
      <c r="Q25" s="8">
        <f t="shared" si="3"/>
        <v>60.53</v>
      </c>
      <c r="R25" s="8">
        <v>0.35</v>
      </c>
      <c r="S25" s="8">
        <f t="shared" si="4"/>
        <v>-0.86000000000000032</v>
      </c>
      <c r="T25" s="9">
        <f t="shared" si="5"/>
        <v>-1.4207830827688754E-2</v>
      </c>
    </row>
    <row r="26" spans="1:20" x14ac:dyDescent="0.3">
      <c r="A26" s="7">
        <v>23655</v>
      </c>
      <c r="B26" s="8" t="s">
        <v>15</v>
      </c>
      <c r="C26" s="8">
        <v>18</v>
      </c>
      <c r="D26" s="8">
        <v>2.94</v>
      </c>
      <c r="E26" s="8">
        <v>0.7</v>
      </c>
      <c r="F26" s="8">
        <f t="shared" si="0"/>
        <v>53.620000000000005</v>
      </c>
      <c r="G26" s="8">
        <v>0.57999999999999996</v>
      </c>
      <c r="H26" s="8">
        <f t="shared" si="1"/>
        <v>9.74</v>
      </c>
      <c r="I26" s="9">
        <f t="shared" si="2"/>
        <v>0.18164863856769861</v>
      </c>
      <c r="L26" s="7">
        <v>23655</v>
      </c>
      <c r="M26" s="8" t="s">
        <v>15</v>
      </c>
      <c r="N26" s="8">
        <v>18</v>
      </c>
      <c r="O26" s="8">
        <v>2.94</v>
      </c>
      <c r="P26" s="8">
        <v>0.7</v>
      </c>
      <c r="Q26" s="8">
        <f t="shared" si="3"/>
        <v>53.620000000000005</v>
      </c>
      <c r="R26" s="8">
        <v>0.57999999999999996</v>
      </c>
      <c r="S26" s="8">
        <f t="shared" si="4"/>
        <v>9.74</v>
      </c>
      <c r="T26" s="9">
        <f t="shared" si="5"/>
        <v>0.18164863856769861</v>
      </c>
    </row>
    <row r="27" spans="1:20" x14ac:dyDescent="0.3">
      <c r="A27" s="7">
        <v>25933</v>
      </c>
      <c r="B27" s="8" t="s">
        <v>14</v>
      </c>
      <c r="C27" s="8">
        <v>6</v>
      </c>
      <c r="D27" s="8">
        <v>99.99</v>
      </c>
      <c r="E27" s="8">
        <v>19.989999999999998</v>
      </c>
      <c r="F27" s="8">
        <f t="shared" si="0"/>
        <v>619.92999999999995</v>
      </c>
      <c r="G27" s="8">
        <v>0.52</v>
      </c>
      <c r="H27" s="8">
        <f t="shared" si="1"/>
        <v>-16.869999999999997</v>
      </c>
      <c r="I27" s="9">
        <f t="shared" si="2"/>
        <v>-2.7212749826593323E-2</v>
      </c>
      <c r="L27" s="7">
        <v>25933</v>
      </c>
      <c r="M27" s="8" t="s">
        <v>14</v>
      </c>
      <c r="N27" s="8">
        <v>6</v>
      </c>
      <c r="O27" s="8">
        <v>99.99</v>
      </c>
      <c r="P27" s="8">
        <v>19.989999999999998</v>
      </c>
      <c r="Q27" s="8">
        <f t="shared" si="3"/>
        <v>619.92999999999995</v>
      </c>
      <c r="R27" s="8">
        <v>0.52</v>
      </c>
      <c r="S27" s="8">
        <f t="shared" si="4"/>
        <v>-16.869999999999997</v>
      </c>
      <c r="T27" s="9">
        <f t="shared" si="5"/>
        <v>-2.7212749826593323E-2</v>
      </c>
    </row>
    <row r="28" spans="1:20" x14ac:dyDescent="0.3">
      <c r="A28" s="7">
        <v>20697</v>
      </c>
      <c r="B28" s="8" t="s">
        <v>17</v>
      </c>
      <c r="C28" s="8">
        <v>6</v>
      </c>
      <c r="D28" s="8">
        <v>115.99</v>
      </c>
      <c r="E28" s="8">
        <v>2.5</v>
      </c>
      <c r="F28" s="8">
        <f t="shared" si="0"/>
        <v>698.43999999999994</v>
      </c>
      <c r="G28" s="8">
        <v>0.56999999999999995</v>
      </c>
      <c r="H28" s="8">
        <f t="shared" si="1"/>
        <v>0.91999999999999993</v>
      </c>
      <c r="I28" s="9">
        <f t="shared" si="2"/>
        <v>1.3172212358971422E-3</v>
      </c>
      <c r="L28" s="7">
        <v>20697</v>
      </c>
      <c r="M28" s="8" t="s">
        <v>17</v>
      </c>
      <c r="N28" s="8">
        <v>6</v>
      </c>
      <c r="O28" s="8">
        <v>115.99</v>
      </c>
      <c r="P28" s="8">
        <v>2.5</v>
      </c>
      <c r="Q28" s="8">
        <f t="shared" si="3"/>
        <v>698.43999999999994</v>
      </c>
      <c r="R28" s="8">
        <v>0.56999999999999995</v>
      </c>
      <c r="S28" s="8">
        <f t="shared" si="4"/>
        <v>0.91999999999999993</v>
      </c>
      <c r="T28" s="9">
        <f t="shared" si="5"/>
        <v>1.3172212358971422E-3</v>
      </c>
    </row>
    <row r="29" spans="1:20" x14ac:dyDescent="0.3">
      <c r="A29" s="7">
        <v>20698</v>
      </c>
      <c r="B29" s="8" t="s">
        <v>17</v>
      </c>
      <c r="C29" s="8">
        <v>1</v>
      </c>
      <c r="D29" s="8">
        <v>3502.14</v>
      </c>
      <c r="E29" s="8">
        <v>8.73</v>
      </c>
      <c r="F29" s="8">
        <f t="shared" si="0"/>
        <v>3510.87</v>
      </c>
      <c r="G29" s="8">
        <v>0.56999999999999995</v>
      </c>
      <c r="H29" s="8">
        <f t="shared" si="1"/>
        <v>-8.16</v>
      </c>
      <c r="I29" s="9">
        <f t="shared" si="2"/>
        <v>-2.3242102384878963E-3</v>
      </c>
      <c r="L29" s="7">
        <v>20698</v>
      </c>
      <c r="M29" s="8" t="s">
        <v>17</v>
      </c>
      <c r="N29" s="8">
        <v>1</v>
      </c>
      <c r="O29" s="8">
        <v>3502.14</v>
      </c>
      <c r="P29" s="8">
        <v>8.73</v>
      </c>
      <c r="Q29" s="8">
        <f t="shared" si="3"/>
        <v>3510.87</v>
      </c>
      <c r="R29" s="8">
        <v>0.56999999999999995</v>
      </c>
      <c r="S29" s="8">
        <f t="shared" si="4"/>
        <v>-8.16</v>
      </c>
      <c r="T29" s="9">
        <f t="shared" si="5"/>
        <v>-2.3242102384878963E-3</v>
      </c>
    </row>
    <row r="30" spans="1:20" x14ac:dyDescent="0.3">
      <c r="A30" s="7">
        <v>22890</v>
      </c>
      <c r="B30" s="8" t="s">
        <v>14</v>
      </c>
      <c r="C30" s="8">
        <v>17</v>
      </c>
      <c r="D30" s="8">
        <v>175.99</v>
      </c>
      <c r="E30" s="8">
        <v>5.79</v>
      </c>
      <c r="F30" s="8">
        <f t="shared" si="0"/>
        <v>2997.62</v>
      </c>
      <c r="G30" s="8">
        <v>0.36</v>
      </c>
      <c r="H30" s="8">
        <f t="shared" si="1"/>
        <v>0.33000000000000007</v>
      </c>
      <c r="I30" s="9">
        <f t="shared" si="2"/>
        <v>1.1008733595318956E-4</v>
      </c>
      <c r="L30" s="7">
        <v>22890</v>
      </c>
      <c r="M30" s="8" t="s">
        <v>14</v>
      </c>
      <c r="N30" s="8">
        <v>17</v>
      </c>
      <c r="O30" s="8">
        <v>175.99</v>
      </c>
      <c r="P30" s="8">
        <v>5.79</v>
      </c>
      <c r="Q30" s="8">
        <f t="shared" si="3"/>
        <v>2997.62</v>
      </c>
      <c r="R30" s="8">
        <v>0.36</v>
      </c>
      <c r="S30" s="8">
        <f t="shared" si="4"/>
        <v>0.33000000000000007</v>
      </c>
      <c r="T30" s="9">
        <f t="shared" si="5"/>
        <v>1.1008733595318956E-4</v>
      </c>
    </row>
    <row r="31" spans="1:20" x14ac:dyDescent="0.3">
      <c r="A31" s="7">
        <v>25354</v>
      </c>
      <c r="B31" s="8" t="s">
        <v>14</v>
      </c>
      <c r="C31" s="8">
        <v>20</v>
      </c>
      <c r="D31" s="8">
        <v>155.06</v>
      </c>
      <c r="E31" s="8">
        <v>1.49</v>
      </c>
      <c r="F31" s="8">
        <f t="shared" si="0"/>
        <v>3102.6899999999996</v>
      </c>
      <c r="G31" s="8">
        <v>0.38</v>
      </c>
      <c r="H31" s="8">
        <f t="shared" si="1"/>
        <v>6.1099999999999994</v>
      </c>
      <c r="I31" s="9">
        <f t="shared" si="2"/>
        <v>1.9692589333771661E-3</v>
      </c>
      <c r="L31" s="7">
        <v>25354</v>
      </c>
      <c r="M31" s="8" t="s">
        <v>14</v>
      </c>
      <c r="N31" s="8">
        <v>20</v>
      </c>
      <c r="O31" s="8">
        <v>155.06</v>
      </c>
      <c r="P31" s="8">
        <v>1.49</v>
      </c>
      <c r="Q31" s="8">
        <f t="shared" si="3"/>
        <v>3102.6899999999996</v>
      </c>
      <c r="R31" s="8">
        <v>0.38</v>
      </c>
      <c r="S31" s="8">
        <f t="shared" si="4"/>
        <v>6.1099999999999994</v>
      </c>
      <c r="T31" s="9">
        <f t="shared" si="5"/>
        <v>1.9692589333771661E-3</v>
      </c>
    </row>
    <row r="32" spans="1:20" x14ac:dyDescent="0.3">
      <c r="A32" s="7">
        <v>21017</v>
      </c>
      <c r="B32" s="8" t="s">
        <v>15</v>
      </c>
      <c r="C32" s="8">
        <v>17</v>
      </c>
      <c r="D32" s="8">
        <v>5.98</v>
      </c>
      <c r="E32" s="8">
        <v>0.7</v>
      </c>
      <c r="F32" s="8">
        <f t="shared" si="0"/>
        <v>102.36000000000001</v>
      </c>
      <c r="G32" s="8">
        <v>0.56000000000000005</v>
      </c>
      <c r="H32" s="8">
        <f t="shared" si="1"/>
        <v>8.8200000000000021</v>
      </c>
      <c r="I32" s="9">
        <f t="shared" si="2"/>
        <v>8.616647127784291E-2</v>
      </c>
      <c r="L32" s="7">
        <v>21017</v>
      </c>
      <c r="M32" s="8" t="s">
        <v>15</v>
      </c>
      <c r="N32" s="8">
        <v>17</v>
      </c>
      <c r="O32" s="8">
        <v>5.98</v>
      </c>
      <c r="P32" s="8">
        <v>0.7</v>
      </c>
      <c r="Q32" s="8">
        <f t="shared" si="3"/>
        <v>102.36000000000001</v>
      </c>
      <c r="R32" s="8">
        <v>0.56000000000000005</v>
      </c>
      <c r="S32" s="8">
        <f t="shared" si="4"/>
        <v>8.8200000000000021</v>
      </c>
      <c r="T32" s="9">
        <f t="shared" si="5"/>
        <v>8.616647127784291E-2</v>
      </c>
    </row>
    <row r="33" spans="1:20" x14ac:dyDescent="0.3">
      <c r="A33" s="7">
        <v>21019</v>
      </c>
      <c r="B33" s="8" t="s">
        <v>15</v>
      </c>
      <c r="C33" s="8">
        <v>3</v>
      </c>
      <c r="D33" s="8">
        <v>29.14</v>
      </c>
      <c r="E33" s="8">
        <v>5.15</v>
      </c>
      <c r="F33" s="8">
        <f t="shared" si="0"/>
        <v>92.570000000000007</v>
      </c>
      <c r="G33" s="8">
        <v>0.36</v>
      </c>
      <c r="H33" s="8">
        <f t="shared" si="1"/>
        <v>-4.07</v>
      </c>
      <c r="I33" s="9">
        <f t="shared" si="2"/>
        <v>-4.3966727881603114E-2</v>
      </c>
      <c r="L33" s="7">
        <v>21019</v>
      </c>
      <c r="M33" s="8" t="s">
        <v>15</v>
      </c>
      <c r="N33" s="8">
        <v>3</v>
      </c>
      <c r="O33" s="8">
        <v>29.14</v>
      </c>
      <c r="P33" s="8">
        <v>5.15</v>
      </c>
      <c r="Q33" s="8">
        <f t="shared" si="3"/>
        <v>92.570000000000007</v>
      </c>
      <c r="R33" s="8">
        <v>0.36</v>
      </c>
      <c r="S33" s="8">
        <f t="shared" si="4"/>
        <v>-4.07</v>
      </c>
      <c r="T33" s="9">
        <f t="shared" si="5"/>
        <v>-4.3966727881603114E-2</v>
      </c>
    </row>
    <row r="34" spans="1:20" ht="15" thickBot="1" x14ac:dyDescent="0.35">
      <c r="A34" s="10">
        <v>23274</v>
      </c>
      <c r="B34" s="11" t="s">
        <v>18</v>
      </c>
      <c r="C34" s="11">
        <v>17</v>
      </c>
      <c r="D34" s="11">
        <v>3.69</v>
      </c>
      <c r="E34" s="11">
        <v>4.8600000000000003</v>
      </c>
      <c r="F34" s="11">
        <f t="shared" si="0"/>
        <v>67.59</v>
      </c>
      <c r="G34" s="11">
        <v>0.38</v>
      </c>
      <c r="H34" s="11">
        <f t="shared" si="1"/>
        <v>1.5999999999999996</v>
      </c>
      <c r="I34" s="12">
        <f t="shared" si="2"/>
        <v>2.3672140849238046E-2</v>
      </c>
      <c r="L34" s="10">
        <v>23274</v>
      </c>
      <c r="M34" s="11" t="s">
        <v>18</v>
      </c>
      <c r="N34" s="11">
        <v>17</v>
      </c>
      <c r="O34" s="11">
        <v>3.69</v>
      </c>
      <c r="P34" s="11">
        <v>4.8600000000000003</v>
      </c>
      <c r="Q34" s="11">
        <f t="shared" si="3"/>
        <v>67.59</v>
      </c>
      <c r="R34" s="11">
        <v>0.38</v>
      </c>
      <c r="S34" s="11">
        <f t="shared" si="4"/>
        <v>1.5999999999999996</v>
      </c>
      <c r="T34" s="12">
        <f t="shared" si="5"/>
        <v>2.3672140849238046E-2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3" name="Button 7">
              <controlPr defaultSize="0" print="0" autoFill="0" autoPict="0" macro="[0]!Macro1">
                <anchor moveWithCells="1" sizeWithCells="1">
                  <from>
                    <xdr:col>21</xdr:col>
                    <xdr:colOff>160020</xdr:colOff>
                    <xdr:row>5</xdr:row>
                    <xdr:rowOff>137160</xdr:rowOff>
                  </from>
                  <to>
                    <xdr:col>22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G19"/>
  <sheetViews>
    <sheetView workbookViewId="0">
      <selection activeCell="L6" sqref="L6"/>
    </sheetView>
  </sheetViews>
  <sheetFormatPr defaultRowHeight="14.4" x14ac:dyDescent="0.3"/>
  <cols>
    <col min="4" max="4" width="11.44140625" customWidth="1"/>
    <col min="5" max="6" width="15" customWidth="1"/>
    <col min="7" max="7" width="16.6640625" customWidth="1"/>
    <col min="8" max="8" width="11.44140625" customWidth="1"/>
    <col min="9" max="9" width="15" customWidth="1"/>
    <col min="10" max="10" width="11.44140625" customWidth="1"/>
    <col min="11" max="12" width="15" customWidth="1"/>
    <col min="13" max="13" width="11.44140625" customWidth="1"/>
    <col min="14" max="15" width="15" customWidth="1"/>
    <col min="16" max="16" width="16.6640625" customWidth="1"/>
    <col min="18" max="18" width="10.33203125" bestFit="1" customWidth="1"/>
    <col min="19" max="19" width="14.109375" bestFit="1" customWidth="1"/>
    <col min="20" max="20" width="7.88671875" bestFit="1" customWidth="1"/>
  </cols>
  <sheetData>
    <row r="3" spans="3:7" x14ac:dyDescent="0.3">
      <c r="C3" s="1" t="s">
        <v>19</v>
      </c>
    </row>
    <row r="4" spans="3:7" x14ac:dyDescent="0.3">
      <c r="C4" s="1" t="s">
        <v>20</v>
      </c>
    </row>
    <row r="5" spans="3:7" ht="15" thickBot="1" x14ac:dyDescent="0.35"/>
    <row r="6" spans="3:7" ht="15.6" x14ac:dyDescent="0.3">
      <c r="C6" s="23" t="s">
        <v>22</v>
      </c>
      <c r="D6" s="24" t="s">
        <v>36</v>
      </c>
      <c r="E6" s="24" t="s">
        <v>23</v>
      </c>
      <c r="F6" s="24" t="s">
        <v>33</v>
      </c>
      <c r="G6" s="25" t="s">
        <v>34</v>
      </c>
    </row>
    <row r="7" spans="3:7" x14ac:dyDescent="0.3">
      <c r="C7" s="17">
        <v>1</v>
      </c>
      <c r="D7" s="13" t="s">
        <v>24</v>
      </c>
      <c r="E7" s="14">
        <v>45173</v>
      </c>
      <c r="F7" s="13" t="s">
        <v>29</v>
      </c>
      <c r="G7" s="18">
        <v>20000</v>
      </c>
    </row>
    <row r="8" spans="3:7" x14ac:dyDescent="0.3">
      <c r="C8" s="17">
        <v>2</v>
      </c>
      <c r="D8" s="13" t="s">
        <v>25</v>
      </c>
      <c r="E8" s="14">
        <v>44848</v>
      </c>
      <c r="F8" s="13" t="s">
        <v>35</v>
      </c>
      <c r="G8" s="18">
        <v>10000</v>
      </c>
    </row>
    <row r="9" spans="3:7" x14ac:dyDescent="0.3">
      <c r="C9" s="17">
        <v>3</v>
      </c>
      <c r="D9" s="13" t="s">
        <v>26</v>
      </c>
      <c r="E9" s="14">
        <v>44357</v>
      </c>
      <c r="F9" s="13" t="s">
        <v>32</v>
      </c>
      <c r="G9" s="18">
        <v>30000</v>
      </c>
    </row>
    <row r="10" spans="3:7" x14ac:dyDescent="0.3">
      <c r="C10" s="17">
        <v>4</v>
      </c>
      <c r="D10" s="13" t="s">
        <v>28</v>
      </c>
      <c r="E10" s="14">
        <v>43580</v>
      </c>
      <c r="F10" s="13" t="s">
        <v>30</v>
      </c>
      <c r="G10" s="18">
        <v>15000</v>
      </c>
    </row>
    <row r="11" spans="3:7" ht="15" thickBot="1" x14ac:dyDescent="0.35">
      <c r="C11" s="19">
        <v>5</v>
      </c>
      <c r="D11" s="20" t="s">
        <v>27</v>
      </c>
      <c r="E11" s="21">
        <v>44415</v>
      </c>
      <c r="F11" s="20" t="s">
        <v>31</v>
      </c>
      <c r="G11" s="22">
        <v>35000</v>
      </c>
    </row>
    <row r="13" spans="3:7" ht="15" thickBot="1" x14ac:dyDescent="0.35"/>
    <row r="14" spans="3:7" ht="15.6" x14ac:dyDescent="0.3">
      <c r="C14" s="23" t="s">
        <v>22</v>
      </c>
      <c r="D14" s="24" t="s">
        <v>36</v>
      </c>
      <c r="E14" s="24" t="s">
        <v>23</v>
      </c>
      <c r="F14" s="24" t="s">
        <v>33</v>
      </c>
      <c r="G14" s="25" t="s">
        <v>34</v>
      </c>
    </row>
    <row r="15" spans="3:7" x14ac:dyDescent="0.3">
      <c r="C15" s="26">
        <v>1</v>
      </c>
      <c r="D15" s="15" t="s">
        <v>24</v>
      </c>
      <c r="E15" s="16">
        <v>45173</v>
      </c>
      <c r="F15" s="15" t="s">
        <v>29</v>
      </c>
      <c r="G15" s="27">
        <v>20000</v>
      </c>
    </row>
    <row r="16" spans="3:7" x14ac:dyDescent="0.3">
      <c r="C16" s="26">
        <v>2</v>
      </c>
      <c r="D16" s="15" t="s">
        <v>25</v>
      </c>
      <c r="E16" s="16">
        <v>44848</v>
      </c>
      <c r="F16" s="15" t="s">
        <v>35</v>
      </c>
      <c r="G16" s="27">
        <v>10000</v>
      </c>
    </row>
    <row r="17" spans="3:7" x14ac:dyDescent="0.3">
      <c r="C17" s="26">
        <v>3</v>
      </c>
      <c r="D17" s="15" t="s">
        <v>26</v>
      </c>
      <c r="E17" s="16">
        <v>44357</v>
      </c>
      <c r="F17" s="15" t="s">
        <v>32</v>
      </c>
      <c r="G17" s="27">
        <v>30000</v>
      </c>
    </row>
    <row r="18" spans="3:7" x14ac:dyDescent="0.3">
      <c r="C18" s="26">
        <v>4</v>
      </c>
      <c r="D18" s="15" t="s">
        <v>28</v>
      </c>
      <c r="E18" s="16">
        <v>43580</v>
      </c>
      <c r="F18" s="15" t="s">
        <v>30</v>
      </c>
      <c r="G18" s="27">
        <v>15000</v>
      </c>
    </row>
    <row r="19" spans="3:7" ht="15" thickBot="1" x14ac:dyDescent="0.35">
      <c r="C19" s="28">
        <v>5</v>
      </c>
      <c r="D19" s="29" t="s">
        <v>27</v>
      </c>
      <c r="E19" s="30">
        <v>44415</v>
      </c>
      <c r="F19" s="29" t="s">
        <v>31</v>
      </c>
      <c r="G19" s="31">
        <v>35000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Macro2">
                <anchor moveWithCells="1" sizeWithCells="1">
                  <from>
                    <xdr:col>8</xdr:col>
                    <xdr:colOff>320040</xdr:colOff>
                    <xdr:row>5</xdr:row>
                    <xdr:rowOff>15240</xdr:rowOff>
                  </from>
                  <to>
                    <xdr:col>9</xdr:col>
                    <xdr:colOff>762000</xdr:colOff>
                    <xdr:row>8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38D23-1A8D-436A-A187-5E89D3E94AB2}">
  <sheetPr codeName="Sheet4"/>
  <dimension ref="B2:F21"/>
  <sheetViews>
    <sheetView tabSelected="1" workbookViewId="0">
      <selection activeCell="B8" sqref="B8"/>
    </sheetView>
  </sheetViews>
  <sheetFormatPr defaultRowHeight="14.4" x14ac:dyDescent="0.3"/>
  <cols>
    <col min="3" max="3" width="13.33203125" customWidth="1"/>
    <col min="4" max="4" width="15" customWidth="1"/>
    <col min="5" max="5" width="21.33203125" customWidth="1"/>
    <col min="6" max="6" width="18.21875" customWidth="1"/>
    <col min="10" max="10" width="10.33203125" bestFit="1" customWidth="1"/>
    <col min="11" max="11" width="14.109375" bestFit="1" customWidth="1"/>
    <col min="15" max="15" width="35.109375" customWidth="1"/>
  </cols>
  <sheetData>
    <row r="2" spans="2:6" ht="30" customHeight="1" x14ac:dyDescent="0.3">
      <c r="B2" s="32" t="s">
        <v>22</v>
      </c>
      <c r="C2" s="32" t="s">
        <v>37</v>
      </c>
      <c r="D2" s="32" t="s">
        <v>23</v>
      </c>
      <c r="E2" s="32" t="s">
        <v>33</v>
      </c>
      <c r="F2" s="32" t="s">
        <v>34</v>
      </c>
    </row>
    <row r="3" spans="2:6" x14ac:dyDescent="0.3">
      <c r="B3" s="13">
        <v>1</v>
      </c>
      <c r="C3" s="13" t="s">
        <v>28</v>
      </c>
      <c r="D3" s="33">
        <v>45174</v>
      </c>
      <c r="E3" s="13" t="s">
        <v>31</v>
      </c>
      <c r="F3" s="13">
        <v>50000</v>
      </c>
    </row>
    <row r="4" spans="2:6" x14ac:dyDescent="0.3">
      <c r="B4" s="13">
        <v>2</v>
      </c>
      <c r="C4" s="13" t="s">
        <v>24</v>
      </c>
      <c r="D4" s="33">
        <v>44788</v>
      </c>
      <c r="E4" s="13" t="s">
        <v>29</v>
      </c>
      <c r="F4" s="13">
        <v>40000</v>
      </c>
    </row>
    <row r="5" spans="2:6" x14ac:dyDescent="0.3">
      <c r="B5" s="13">
        <v>3</v>
      </c>
      <c r="C5" s="13" t="s">
        <v>25</v>
      </c>
      <c r="D5" s="34" t="s">
        <v>38</v>
      </c>
      <c r="E5" s="13" t="s">
        <v>35</v>
      </c>
      <c r="F5" s="13">
        <v>30000</v>
      </c>
    </row>
    <row r="6" spans="2:6" x14ac:dyDescent="0.3">
      <c r="B6" s="13">
        <v>4</v>
      </c>
      <c r="C6" s="13" t="s">
        <v>26</v>
      </c>
      <c r="D6" s="33">
        <v>43744</v>
      </c>
      <c r="E6" s="13" t="s">
        <v>30</v>
      </c>
      <c r="F6" s="13">
        <v>20000</v>
      </c>
    </row>
    <row r="7" spans="2:6" x14ac:dyDescent="0.3">
      <c r="B7" s="13">
        <v>5</v>
      </c>
      <c r="C7" s="13" t="s">
        <v>27</v>
      </c>
      <c r="D7" s="34" t="s">
        <v>39</v>
      </c>
      <c r="E7" s="13" t="s">
        <v>32</v>
      </c>
      <c r="F7" s="13">
        <v>10000</v>
      </c>
    </row>
    <row r="8" spans="2:6" x14ac:dyDescent="0.3">
      <c r="B8" s="13"/>
      <c r="C8" s="13"/>
      <c r="D8" s="33"/>
      <c r="E8" s="13"/>
      <c r="F8" s="13"/>
    </row>
    <row r="9" spans="2:6" x14ac:dyDescent="0.3">
      <c r="B9" s="13"/>
      <c r="C9" s="13"/>
      <c r="D9" s="33"/>
      <c r="E9" s="13"/>
      <c r="F9" s="13"/>
    </row>
    <row r="10" spans="2:6" x14ac:dyDescent="0.3">
      <c r="B10" s="13"/>
      <c r="C10" s="13"/>
      <c r="D10" s="34"/>
      <c r="E10" s="13"/>
      <c r="F10" s="13"/>
    </row>
    <row r="11" spans="2:6" x14ac:dyDescent="0.3">
      <c r="B11" s="13"/>
      <c r="C11" s="13"/>
      <c r="D11" s="33"/>
      <c r="E11" s="13"/>
      <c r="F11" s="13"/>
    </row>
    <row r="12" spans="2:6" x14ac:dyDescent="0.3">
      <c r="B12" s="13"/>
      <c r="C12" s="13"/>
      <c r="D12" s="34"/>
      <c r="E12" s="13"/>
      <c r="F12" s="13"/>
    </row>
    <row r="13" spans="2:6" x14ac:dyDescent="0.3">
      <c r="B13" s="13"/>
      <c r="C13" s="13"/>
      <c r="D13" s="34"/>
      <c r="E13" s="13"/>
      <c r="F13" s="13"/>
    </row>
    <row r="14" spans="2:6" x14ac:dyDescent="0.3">
      <c r="B14" s="13"/>
      <c r="C14" s="13"/>
      <c r="D14" s="34"/>
      <c r="E14" s="13"/>
      <c r="F14" s="13"/>
    </row>
    <row r="15" spans="2:6" x14ac:dyDescent="0.3">
      <c r="B15" s="13"/>
      <c r="C15" s="13"/>
      <c r="D15" s="34"/>
      <c r="E15" s="13"/>
      <c r="F15" s="13"/>
    </row>
    <row r="16" spans="2:6" x14ac:dyDescent="0.3">
      <c r="B16" s="13"/>
      <c r="C16" s="13"/>
      <c r="D16" s="34"/>
      <c r="E16" s="13"/>
      <c r="F16" s="13"/>
    </row>
    <row r="17" spans="2:6" x14ac:dyDescent="0.3">
      <c r="B17" s="13"/>
      <c r="C17" s="13"/>
      <c r="D17" s="34"/>
      <c r="E17" s="13"/>
      <c r="F17" s="13"/>
    </row>
    <row r="18" spans="2:6" x14ac:dyDescent="0.3">
      <c r="B18" s="13"/>
      <c r="C18" s="13"/>
      <c r="D18" s="34"/>
      <c r="E18" s="13"/>
      <c r="F18" s="13"/>
    </row>
    <row r="19" spans="2:6" x14ac:dyDescent="0.3">
      <c r="B19" s="13"/>
      <c r="C19" s="13"/>
      <c r="D19" s="34"/>
      <c r="E19" s="13"/>
      <c r="F19" s="13"/>
    </row>
    <row r="20" spans="2:6" x14ac:dyDescent="0.3">
      <c r="B20" s="13"/>
      <c r="C20" s="13"/>
      <c r="D20" s="34"/>
      <c r="E20" s="13"/>
      <c r="F20" s="13"/>
    </row>
    <row r="21" spans="2:6" x14ac:dyDescent="0.3">
      <c r="B21" s="13"/>
      <c r="C21" s="13"/>
      <c r="D21" s="34"/>
      <c r="E21" s="13"/>
      <c r="F21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1(Completed)</vt:lpstr>
      <vt:lpstr>2(Completed)</vt:lpstr>
      <vt:lpstr>2(VBA)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KavyaShree</cp:lastModifiedBy>
  <cp:revision/>
  <dcterms:created xsi:type="dcterms:W3CDTF">2015-06-05T18:17:20Z</dcterms:created>
  <dcterms:modified xsi:type="dcterms:W3CDTF">2023-09-05T17:41:08Z</dcterms:modified>
  <cp:category/>
  <cp:contentStatus/>
</cp:coreProperties>
</file>